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09"/>
  <workbookPr/>
  <xr:revisionPtr revIDLastSave="0" documentId="11_8FA67DE953EDF79CE7D85BFE488AE5998DD8FBF3" xr6:coauthVersionLast="47" xr6:coauthVersionMax="47" xr10:uidLastSave="{00000000-0000-0000-0000-000000000000}"/>
  <bookViews>
    <workbookView xWindow="0" yWindow="0" windowWidth="18350" windowHeight="6920" xr2:uid="{00000000-000D-0000-FFFF-FFFF00000000}"/>
  </bookViews>
  <sheets>
    <sheet name="Company_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5" i="2" l="1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<sst xmlns="http://schemas.openxmlformats.org/spreadsheetml/2006/main" count="207" uniqueCount="113">
  <si>
    <t>Guidance
Column 'A' – Enbles selection of Data Points to be entered 
Column 'B' – Provides the units corresponding to Data Point 
Columns 'C' – Enables the entry of the values corresponding to Data Points. If no Value is there, pleas enter 'NA'</t>
  </si>
  <si>
    <t>Select Data Point</t>
  </si>
  <si>
    <t>Units are Auto selected based on Data point</t>
  </si>
  <si>
    <t>Enter the Value</t>
  </si>
  <si>
    <t>Data Set</t>
  </si>
  <si>
    <t>Data Point</t>
  </si>
  <si>
    <t>UOM</t>
  </si>
  <si>
    <t>Value</t>
  </si>
  <si>
    <t>Water Usage</t>
  </si>
  <si>
    <t>Data Points</t>
  </si>
  <si>
    <t>Waste Generation</t>
  </si>
  <si>
    <t>Water usage</t>
  </si>
  <si>
    <t>Cubic meters</t>
  </si>
  <si>
    <t>NOx Emissions</t>
  </si>
  <si>
    <t>Waste generation</t>
  </si>
  <si>
    <t>Tonnes</t>
  </si>
  <si>
    <t>SOx Emissions</t>
  </si>
  <si>
    <t>VOC Emissions</t>
  </si>
  <si>
    <t>Water Pollution Levels</t>
  </si>
  <si>
    <t>Soil Pollution Levels</t>
  </si>
  <si>
    <t>Water pollution levels</t>
  </si>
  <si>
    <t>Renewable Energy Use Ratio</t>
  </si>
  <si>
    <t>Soil pollution levels</t>
  </si>
  <si>
    <t>NA</t>
  </si>
  <si>
    <t>Women Employees</t>
  </si>
  <si>
    <t>Percentage (%)</t>
  </si>
  <si>
    <t>Women Managers</t>
  </si>
  <si>
    <t>Ethnic Minorities Employees Percentage</t>
  </si>
  <si>
    <t>Ethnic Minorities Managers Percentage</t>
  </si>
  <si>
    <t>Total Injury Rate Total</t>
  </si>
  <si>
    <t>Accidents Total</t>
  </si>
  <si>
    <t>(Number of injuries/ Total working hours) * 1,000,000</t>
  </si>
  <si>
    <t>Employee Fatalities</t>
  </si>
  <si>
    <t>(Total working hours*Total injury rate) / 1,000,000</t>
  </si>
  <si>
    <t>Contractor Fatalities</t>
  </si>
  <si>
    <t>Count</t>
  </si>
  <si>
    <t>Lost Time Injury Rate Total</t>
  </si>
  <si>
    <t>Employee Turnover Rates</t>
  </si>
  <si>
    <t>(Total number of lost time injuries/ total working hours) * 1,000,000</t>
  </si>
  <si>
    <t>Donations Total</t>
  </si>
  <si>
    <t>Employee turnover rates</t>
  </si>
  <si>
    <t>Donations / Million in Revenue</t>
  </si>
  <si>
    <t>USD</t>
  </si>
  <si>
    <t>Board Gender Diversity, Percent</t>
  </si>
  <si>
    <t>(Total donations/ Revenue in million USD)</t>
  </si>
  <si>
    <t>Policy Board Independence</t>
  </si>
  <si>
    <t>Independent Board Members</t>
  </si>
  <si>
    <t>Policy Executive Compensation ESG Performance</t>
  </si>
  <si>
    <t>CEO Compensation Link to TSR</t>
  </si>
  <si>
    <t>Policy Executive Compensation Performance</t>
  </si>
  <si>
    <t>Financial Exposure To Transition Risk</t>
  </si>
  <si>
    <t>Financial Exposure To Physical Risk</t>
  </si>
  <si>
    <t>Anti-Corruption Policies and Measures</t>
  </si>
  <si>
    <t>Shareholder Rights</t>
  </si>
  <si>
    <t>Anti-corruption policies and measures</t>
  </si>
  <si>
    <t>Ethics and Compliance Programs</t>
  </si>
  <si>
    <t>Shareholder rights</t>
  </si>
  <si>
    <t>Policy Data Privacy</t>
  </si>
  <si>
    <t>Ethics and compliance programs</t>
  </si>
  <si>
    <t>Policy Cyber Security</t>
  </si>
  <si>
    <t>Regulation Compliance Specific to the Industry</t>
  </si>
  <si>
    <t>Product Safety and Liability</t>
  </si>
  <si>
    <t>Regulation compliance specific to the industry</t>
  </si>
  <si>
    <t>Resource Management (e.g Water Usage)</t>
  </si>
  <si>
    <t>Product safety and liability</t>
  </si>
  <si>
    <t>Environmental Investments Initiatives</t>
  </si>
  <si>
    <t>Environmental Expenditures Investments</t>
  </si>
  <si>
    <t>Policy Community Involvement</t>
  </si>
  <si>
    <t>Community Lending and Investments</t>
  </si>
  <si>
    <t>Targets Energy Efficiency</t>
  </si>
  <si>
    <t>Access to Capital and Financing Opportunities Tied to ESG Performance</t>
  </si>
  <si>
    <t>Scope 1 Emissions (Direct Emissions from Owned or Controlled Sources)</t>
  </si>
  <si>
    <t>Access to capital and financing opportunities tied to ESG performance</t>
  </si>
  <si>
    <t>Scope 2 Emissions (Indirect Emissions from Purchased Electricity, Heat, or Steam)</t>
  </si>
  <si>
    <t>Scope 1 emissions (direct emissions from owned or controlled sources)</t>
  </si>
  <si>
    <t>Scope 3 Emissions (Indirect Emissions from the Value Chain, Including Upstream and Downstream Activities)</t>
  </si>
  <si>
    <t>Scope 2 emissions (indirect emissions from purchased electricity, heat, or steam)</t>
  </si>
  <si>
    <t>Total CO2 Emissions / Million in Revenue (Scope 1 and Scope 2)</t>
  </si>
  <si>
    <t>Scope 3 emissions (indirect emissions from the value chain, including upstream and downstream activities)</t>
  </si>
  <si>
    <t>CO2 Equivalent Emissions Indirect, Scope 3 To Revenues USD in Million</t>
  </si>
  <si>
    <t>Tonnes/ Million</t>
  </si>
  <si>
    <t>Carbon Intensity Reduction Targets and Progress</t>
  </si>
  <si>
    <t>CO2 Equivalent Emissions Indirect, Scope 3 To Revenues USD in million</t>
  </si>
  <si>
    <t>Total Energy Consumption (Electricity, Natural Gas, etc.)</t>
  </si>
  <si>
    <t>Carbon intensity reduction targets and progress</t>
  </si>
  <si>
    <t>Energy Consumption Per Unit of Output or Revenue</t>
  </si>
  <si>
    <t>Total energy consumption (electricity, natural gas, etc.)</t>
  </si>
  <si>
    <t>Gigajoules</t>
  </si>
  <si>
    <t>Renewable Energy Certificates (RECs)</t>
  </si>
  <si>
    <t>Energy consumption per unit of output or revenue</t>
  </si>
  <si>
    <t>Gigajoules/Million</t>
  </si>
  <si>
    <t>Cost of Carbon Reduction Initiatives</t>
  </si>
  <si>
    <t>SBTi Approved Targets</t>
  </si>
  <si>
    <t>Cost of carbon reduction initiatives</t>
  </si>
  <si>
    <t>SBTi Commitment</t>
  </si>
  <si>
    <t>Paris Agreement</t>
  </si>
  <si>
    <t>Revenue</t>
  </si>
  <si>
    <t>Market Capitalisation</t>
  </si>
  <si>
    <t>USD Millions</t>
  </si>
  <si>
    <t>Operating Income</t>
  </si>
  <si>
    <t>Employee Wages and Benefits</t>
  </si>
  <si>
    <t>Operating income</t>
  </si>
  <si>
    <t>Retirement Benefits</t>
  </si>
  <si>
    <t>Employee wages and benefits</t>
  </si>
  <si>
    <t>Payments to providers of capital</t>
  </si>
  <si>
    <t>Retirement benefits</t>
  </si>
  <si>
    <t>Payments to Government</t>
  </si>
  <si>
    <t>Total monetary value of financial assistance received by the organisation from any government</t>
  </si>
  <si>
    <t>Payments to government</t>
  </si>
  <si>
    <t>Community Investments</t>
  </si>
  <si>
    <t>Headcount</t>
  </si>
  <si>
    <t>Community investments</t>
  </si>
  <si>
    <t>SBTi Aligned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</si>
</sst>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b/>
      <i/>
      <sz val="10"/>
      <color theme="1"/>
      <name val="Arial"/>
      <charset val="134"/>
    </font>
    <font>
      <b/>
      <sz val="10"/>
      <color theme="1"/>
      <name val="Arial"/>
      <charset val="134"/>
    </font>
    <font>
      <sz val="9"/>
      <color theme="0"/>
      <name val="Arial"/>
      <charset val="134"/>
    </font>
    <font>
      <b/>
      <i/>
      <sz val="10"/>
      <color theme="0"/>
      <name val="Arial"/>
      <charset val="134"/>
    </font>
    <font>
      <i/>
      <sz val="10"/>
      <color theme="1"/>
      <name val="Arial"/>
      <charset val="134"/>
    </font>
    <font>
      <sz val="8"/>
      <color theme="1"/>
      <name val="Arial"/>
      <charset val="134"/>
    </font>
    <font>
      <sz val="10"/>
      <color theme="1"/>
      <name val="Arial"/>
      <charset val="134"/>
    </font>
    <font>
      <b/>
      <u val="singleAccounting"/>
      <sz val="8"/>
      <color indexed="8"/>
      <name val="Arial"/>
      <charset val="134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6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8" fillId="8" borderId="0" applyAlignment="0"/>
    <xf numFmtId="0" fontId="9" fillId="0" borderId="0">
      <alignment vertical="center"/>
    </xf>
  </cellStyleXfs>
  <cellXfs count="14">
    <xf numFmtId="0" fontId="0" fillId="0" borderId="0" xfId="0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horizontal="center"/>
    </xf>
    <xf numFmtId="4" fontId="6" fillId="0" borderId="1" xfId="0" applyNumberFormat="1" applyFont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9" fillId="0" borderId="1" xfId="2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3">
    <cellStyle name="ColumnHeaderNormal" xfId="1" xr:uid="{00000000-0005-0000-0000-000031000000}"/>
    <cellStyle name="Normal" xfId="0" builtinId="0"/>
    <cellStyle name="Normal 2" xfId="2" xr:uid="{00000000-0005-0000-0000-000032000000}"/>
  </cellStyles>
  <dxfs count="0"/>
  <tableStyles count="0" defaultTableStyle="TableStyleMedium2" defaultPivotStyle="PivotStyleLight16"/>
  <colors>
    <mruColors>
      <color rgb="FFFFCCFF"/>
      <color rgb="FFFF99FF"/>
      <color rgb="FFFF99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4"/>
  <sheetViews>
    <sheetView showGridLines="0" tabSelected="1" zoomScale="70" zoomScaleNormal="70" workbookViewId="0">
      <pane ySplit="3" topLeftCell="A4" activePane="bottomLeft" state="frozen"/>
      <selection pane="bottomLeft" activeCell="E14" sqref="E14"/>
    </sheetView>
  </sheetViews>
  <sheetFormatPr defaultColWidth="9" defaultRowHeight="14.45"/>
  <cols>
    <col min="1" max="1" width="38" customWidth="1"/>
    <col min="2" max="2" width="56" customWidth="1"/>
    <col min="3" max="3" width="43.25" customWidth="1"/>
    <col min="8" max="8" width="14.625" customWidth="1"/>
    <col min="11" max="11" width="8.5" customWidth="1"/>
    <col min="12" max="12" width="98" style="1" hidden="1" customWidth="1"/>
    <col min="13" max="13" width="15.5" hidden="1" customWidth="1"/>
  </cols>
  <sheetData>
    <row r="1" spans="1:13" ht="66" customHeight="1">
      <c r="A1" s="12" t="s">
        <v>0</v>
      </c>
      <c r="B1" s="12"/>
      <c r="C1" s="13"/>
    </row>
    <row r="2" spans="1:13" ht="27" customHeight="1">
      <c r="A2" s="2" t="s">
        <v>1</v>
      </c>
      <c r="B2" s="2" t="s">
        <v>2</v>
      </c>
      <c r="C2" s="2" t="s">
        <v>3</v>
      </c>
      <c r="L2" s="7" t="s">
        <v>4</v>
      </c>
      <c r="M2" s="7"/>
    </row>
    <row r="3" spans="1:13">
      <c r="A3" s="3" t="s">
        <v>5</v>
      </c>
      <c r="B3" s="3" t="s">
        <v>6</v>
      </c>
      <c r="C3" s="3" t="s">
        <v>7</v>
      </c>
      <c r="L3" s="7"/>
      <c r="M3" s="7"/>
    </row>
    <row r="4" spans="1:13" ht="16.5" customHeight="1">
      <c r="A4" s="4" t="s">
        <v>8</v>
      </c>
      <c r="B4" s="5" t="str">
        <f t="shared" ref="B4:B35" si="0">IF(ISBLANK(A4),"",VLOOKUP(A4,$L$5:$M$70,2,FALSE))</f>
        <v>Cubic meters</v>
      </c>
      <c r="C4" s="6"/>
      <c r="L4" s="8" t="s">
        <v>9</v>
      </c>
      <c r="M4" s="8" t="s">
        <v>6</v>
      </c>
    </row>
    <row r="5" spans="1:13">
      <c r="A5" s="4" t="s">
        <v>10</v>
      </c>
      <c r="B5" s="5" t="str">
        <f t="shared" si="0"/>
        <v>Tonnes</v>
      </c>
      <c r="C5" s="6"/>
      <c r="L5" s="9" t="s">
        <v>11</v>
      </c>
      <c r="M5" s="9" t="s">
        <v>12</v>
      </c>
    </row>
    <row r="6" spans="1:13">
      <c r="A6" s="4" t="s">
        <v>13</v>
      </c>
      <c r="B6" s="5" t="str">
        <f t="shared" si="0"/>
        <v>Tonnes</v>
      </c>
      <c r="C6" s="6"/>
      <c r="L6" s="9" t="s">
        <v>14</v>
      </c>
      <c r="M6" s="9" t="s">
        <v>15</v>
      </c>
    </row>
    <row r="7" spans="1:13">
      <c r="A7" s="4" t="s">
        <v>16</v>
      </c>
      <c r="B7" s="5" t="str">
        <f t="shared" si="0"/>
        <v>Tonnes</v>
      </c>
      <c r="C7" s="6"/>
      <c r="L7" s="9" t="s">
        <v>13</v>
      </c>
      <c r="M7" s="9" t="s">
        <v>15</v>
      </c>
    </row>
    <row r="8" spans="1:13">
      <c r="A8" s="4" t="s">
        <v>17</v>
      </c>
      <c r="B8" s="5" t="str">
        <f t="shared" si="0"/>
        <v>Tonnes</v>
      </c>
      <c r="C8" s="6"/>
      <c r="L8" s="9" t="s">
        <v>16</v>
      </c>
      <c r="M8" s="9" t="s">
        <v>15</v>
      </c>
    </row>
    <row r="9" spans="1:13">
      <c r="A9" s="4" t="s">
        <v>18</v>
      </c>
      <c r="B9" s="5" t="str">
        <f t="shared" si="0"/>
        <v>Tonnes</v>
      </c>
      <c r="C9" s="6"/>
      <c r="L9" s="9" t="s">
        <v>17</v>
      </c>
      <c r="M9" s="9" t="s">
        <v>15</v>
      </c>
    </row>
    <row r="10" spans="1:13">
      <c r="A10" s="4" t="s">
        <v>19</v>
      </c>
      <c r="B10" s="5" t="str">
        <f t="shared" si="0"/>
        <v>NA</v>
      </c>
      <c r="C10" s="6"/>
      <c r="L10" s="9" t="s">
        <v>20</v>
      </c>
      <c r="M10" s="9" t="s">
        <v>15</v>
      </c>
    </row>
    <row r="11" spans="1:13">
      <c r="A11" s="4" t="s">
        <v>21</v>
      </c>
      <c r="B11" s="5" t="str">
        <f t="shared" si="0"/>
        <v>Percentage (%)</v>
      </c>
      <c r="C11" s="6"/>
      <c r="L11" s="9" t="s">
        <v>22</v>
      </c>
      <c r="M11" s="9" t="s">
        <v>23</v>
      </c>
    </row>
    <row r="12" spans="1:13">
      <c r="A12" s="4" t="s">
        <v>24</v>
      </c>
      <c r="B12" s="5" t="str">
        <f t="shared" si="0"/>
        <v>Percentage (%)</v>
      </c>
      <c r="C12" s="6"/>
      <c r="L12" s="9" t="s">
        <v>21</v>
      </c>
      <c r="M12" s="9" t="s">
        <v>25</v>
      </c>
    </row>
    <row r="13" spans="1:13">
      <c r="A13" s="4" t="s">
        <v>26</v>
      </c>
      <c r="B13" s="5" t="str">
        <f t="shared" si="0"/>
        <v>Percentage (%)</v>
      </c>
      <c r="C13" s="6"/>
      <c r="L13" s="9" t="s">
        <v>24</v>
      </c>
      <c r="M13" s="9" t="s">
        <v>25</v>
      </c>
    </row>
    <row r="14" spans="1:13">
      <c r="A14" s="4" t="s">
        <v>27</v>
      </c>
      <c r="B14" s="5" t="str">
        <f t="shared" si="0"/>
        <v>Percentage (%)</v>
      </c>
      <c r="C14" s="6"/>
      <c r="L14" s="9" t="s">
        <v>26</v>
      </c>
      <c r="M14" s="9" t="s">
        <v>25</v>
      </c>
    </row>
    <row r="15" spans="1:13">
      <c r="A15" s="4" t="s">
        <v>28</v>
      </c>
      <c r="B15" s="5" t="str">
        <f t="shared" si="0"/>
        <v>Percentage (%)</v>
      </c>
      <c r="C15" s="6"/>
      <c r="L15" s="9" t="s">
        <v>27</v>
      </c>
      <c r="M15" s="9" t="s">
        <v>25</v>
      </c>
    </row>
    <row r="16" spans="1:13">
      <c r="A16" s="4" t="s">
        <v>29</v>
      </c>
      <c r="B16" s="5" t="str">
        <f t="shared" si="0"/>
        <v>(Number of injuries/ Total working hours) * 1,000,000</v>
      </c>
      <c r="C16" s="6"/>
      <c r="L16" s="9" t="s">
        <v>28</v>
      </c>
      <c r="M16" s="9" t="s">
        <v>25</v>
      </c>
    </row>
    <row r="17" spans="1:13">
      <c r="A17" s="4" t="s">
        <v>30</v>
      </c>
      <c r="B17" s="5" t="str">
        <f t="shared" si="0"/>
        <v>(Total working hours*Total injury rate) / 1,000,000</v>
      </c>
      <c r="C17" s="6"/>
      <c r="L17" s="9" t="s">
        <v>29</v>
      </c>
      <c r="M17" s="9" t="s">
        <v>31</v>
      </c>
    </row>
    <row r="18" spans="1:13">
      <c r="A18" s="4" t="s">
        <v>32</v>
      </c>
      <c r="B18" s="5" t="str">
        <f t="shared" si="0"/>
        <v>Count</v>
      </c>
      <c r="C18" s="6"/>
      <c r="L18" s="9" t="s">
        <v>30</v>
      </c>
      <c r="M18" s="9" t="s">
        <v>33</v>
      </c>
    </row>
    <row r="19" spans="1:13">
      <c r="A19" s="4" t="s">
        <v>34</v>
      </c>
      <c r="B19" s="5" t="str">
        <f t="shared" si="0"/>
        <v>Count</v>
      </c>
      <c r="C19" s="6"/>
      <c r="L19" s="9" t="s">
        <v>32</v>
      </c>
      <c r="M19" s="9" t="s">
        <v>35</v>
      </c>
    </row>
    <row r="20" spans="1:13">
      <c r="A20" s="4" t="s">
        <v>36</v>
      </c>
      <c r="B20" s="5" t="str">
        <f t="shared" si="0"/>
        <v>(Total number of lost time injuries/ total working hours) * 1,000,000</v>
      </c>
      <c r="C20" s="6"/>
      <c r="L20" s="9" t="s">
        <v>34</v>
      </c>
      <c r="M20" s="9" t="s">
        <v>35</v>
      </c>
    </row>
    <row r="21" spans="1:13">
      <c r="A21" s="4" t="s">
        <v>37</v>
      </c>
      <c r="B21" s="5" t="str">
        <f t="shared" si="0"/>
        <v>Percentage (%)</v>
      </c>
      <c r="C21" s="6"/>
      <c r="L21" s="9" t="s">
        <v>36</v>
      </c>
      <c r="M21" s="9" t="s">
        <v>38</v>
      </c>
    </row>
    <row r="22" spans="1:13">
      <c r="A22" s="4" t="s">
        <v>39</v>
      </c>
      <c r="B22" s="5" t="str">
        <f t="shared" si="0"/>
        <v>USD</v>
      </c>
      <c r="C22" s="6"/>
      <c r="L22" s="9" t="s">
        <v>40</v>
      </c>
      <c r="M22" s="9" t="s">
        <v>25</v>
      </c>
    </row>
    <row r="23" spans="1:13">
      <c r="A23" s="4" t="s">
        <v>41</v>
      </c>
      <c r="B23" s="5" t="str">
        <f t="shared" si="0"/>
        <v>(Total donations/ Revenue in million USD)</v>
      </c>
      <c r="C23" s="6"/>
      <c r="L23" s="9" t="s">
        <v>39</v>
      </c>
      <c r="M23" s="9" t="s">
        <v>42</v>
      </c>
    </row>
    <row r="24" spans="1:13">
      <c r="A24" s="4" t="s">
        <v>43</v>
      </c>
      <c r="B24" s="5" t="str">
        <f t="shared" si="0"/>
        <v>Percentage (%)</v>
      </c>
      <c r="C24" s="6"/>
      <c r="L24" s="9" t="s">
        <v>41</v>
      </c>
      <c r="M24" s="9" t="s">
        <v>44</v>
      </c>
    </row>
    <row r="25" spans="1:13">
      <c r="A25" s="4" t="s">
        <v>45</v>
      </c>
      <c r="B25" s="5" t="str">
        <f t="shared" si="0"/>
        <v>NA</v>
      </c>
      <c r="C25" s="6"/>
      <c r="L25" s="9" t="s">
        <v>43</v>
      </c>
      <c r="M25" s="9" t="s">
        <v>25</v>
      </c>
    </row>
    <row r="26" spans="1:13">
      <c r="A26" s="4" t="s">
        <v>46</v>
      </c>
      <c r="B26" s="5" t="str">
        <f t="shared" si="0"/>
        <v>Percentage (%)</v>
      </c>
      <c r="C26" s="6"/>
      <c r="L26" s="9" t="s">
        <v>45</v>
      </c>
      <c r="M26" s="9" t="s">
        <v>23</v>
      </c>
    </row>
    <row r="27" spans="1:13">
      <c r="A27" s="4" t="s">
        <v>47</v>
      </c>
      <c r="B27" s="5" t="str">
        <f t="shared" si="0"/>
        <v>NA</v>
      </c>
      <c r="C27" s="6"/>
      <c r="L27" s="9" t="s">
        <v>46</v>
      </c>
      <c r="M27" s="9" t="s">
        <v>25</v>
      </c>
    </row>
    <row r="28" spans="1:13">
      <c r="A28" s="4" t="s">
        <v>48</v>
      </c>
      <c r="B28" s="5" t="str">
        <f t="shared" si="0"/>
        <v>NA</v>
      </c>
      <c r="C28" s="6"/>
      <c r="L28" s="9" t="s">
        <v>47</v>
      </c>
      <c r="M28" s="9" t="s">
        <v>23</v>
      </c>
    </row>
    <row r="29" spans="1:13">
      <c r="A29" s="4" t="s">
        <v>49</v>
      </c>
      <c r="B29" s="5" t="str">
        <f t="shared" si="0"/>
        <v>NA</v>
      </c>
      <c r="C29" s="6"/>
      <c r="L29" s="9" t="s">
        <v>48</v>
      </c>
      <c r="M29" s="9" t="s">
        <v>23</v>
      </c>
    </row>
    <row r="30" spans="1:13">
      <c r="A30" s="4" t="s">
        <v>50</v>
      </c>
      <c r="B30" s="5" t="str">
        <f t="shared" si="0"/>
        <v>NA</v>
      </c>
      <c r="C30" s="6"/>
      <c r="L30" s="9" t="s">
        <v>49</v>
      </c>
      <c r="M30" s="9" t="s">
        <v>23</v>
      </c>
    </row>
    <row r="31" spans="1:13">
      <c r="A31" s="4" t="s">
        <v>51</v>
      </c>
      <c r="B31" s="5" t="str">
        <f t="shared" si="0"/>
        <v>NA</v>
      </c>
      <c r="C31" s="6"/>
      <c r="L31" s="9" t="s">
        <v>50</v>
      </c>
      <c r="M31" s="9" t="s">
        <v>23</v>
      </c>
    </row>
    <row r="32" spans="1:13">
      <c r="A32" s="4" t="s">
        <v>52</v>
      </c>
      <c r="B32" s="5" t="str">
        <f t="shared" si="0"/>
        <v>NA</v>
      </c>
      <c r="C32" s="6"/>
      <c r="L32" s="9" t="s">
        <v>51</v>
      </c>
      <c r="M32" s="9" t="s">
        <v>23</v>
      </c>
    </row>
    <row r="33" spans="1:13">
      <c r="A33" s="4" t="s">
        <v>53</v>
      </c>
      <c r="B33" s="5" t="str">
        <f t="shared" si="0"/>
        <v>NA</v>
      </c>
      <c r="C33" s="6"/>
      <c r="L33" s="9" t="s">
        <v>54</v>
      </c>
      <c r="M33" s="9" t="s">
        <v>23</v>
      </c>
    </row>
    <row r="34" spans="1:13">
      <c r="A34" s="4" t="s">
        <v>55</v>
      </c>
      <c r="B34" s="5" t="str">
        <f t="shared" si="0"/>
        <v>NA</v>
      </c>
      <c r="C34" s="6"/>
      <c r="L34" s="9" t="s">
        <v>56</v>
      </c>
      <c r="M34" s="9" t="s">
        <v>23</v>
      </c>
    </row>
    <row r="35" spans="1:13">
      <c r="A35" s="4" t="s">
        <v>57</v>
      </c>
      <c r="B35" s="5" t="str">
        <f t="shared" si="0"/>
        <v>NA</v>
      </c>
      <c r="C35" s="6"/>
      <c r="L35" s="9" t="s">
        <v>58</v>
      </c>
      <c r="M35" s="9" t="s">
        <v>23</v>
      </c>
    </row>
    <row r="36" spans="1:13">
      <c r="A36" s="4" t="s">
        <v>59</v>
      </c>
      <c r="B36" s="5" t="str">
        <f t="shared" ref="B36:B67" si="1">IF(ISBLANK(A36),"",VLOOKUP(A36,$L$5:$M$70,2,FALSE))</f>
        <v>NA</v>
      </c>
      <c r="C36" s="6"/>
      <c r="L36" s="9" t="s">
        <v>57</v>
      </c>
      <c r="M36" s="9" t="s">
        <v>23</v>
      </c>
    </row>
    <row r="37" spans="1:13">
      <c r="A37" s="4" t="s">
        <v>60</v>
      </c>
      <c r="B37" s="5" t="str">
        <f t="shared" si="1"/>
        <v>NA</v>
      </c>
      <c r="C37" s="6"/>
      <c r="L37" s="9" t="s">
        <v>59</v>
      </c>
      <c r="M37" s="9" t="s">
        <v>23</v>
      </c>
    </row>
    <row r="38" spans="1:13">
      <c r="A38" s="4" t="s">
        <v>61</v>
      </c>
      <c r="B38" s="5" t="str">
        <f t="shared" si="1"/>
        <v>NA</v>
      </c>
      <c r="C38" s="6"/>
      <c r="L38" s="9" t="s">
        <v>62</v>
      </c>
      <c r="M38" s="9" t="s">
        <v>23</v>
      </c>
    </row>
    <row r="39" spans="1:13">
      <c r="A39" s="4" t="s">
        <v>63</v>
      </c>
      <c r="B39" s="5" t="str">
        <f t="shared" si="1"/>
        <v>NA</v>
      </c>
      <c r="C39" s="6"/>
      <c r="L39" s="9" t="s">
        <v>64</v>
      </c>
      <c r="M39" s="9" t="s">
        <v>23</v>
      </c>
    </row>
    <row r="40" spans="1:13">
      <c r="A40" s="4" t="s">
        <v>65</v>
      </c>
      <c r="B40" s="5" t="str">
        <f t="shared" si="1"/>
        <v>NA</v>
      </c>
      <c r="C40" s="6"/>
      <c r="L40" t="s">
        <v>63</v>
      </c>
      <c r="M40" s="9" t="s">
        <v>23</v>
      </c>
    </row>
    <row r="41" spans="1:13">
      <c r="A41" s="4" t="s">
        <v>66</v>
      </c>
      <c r="B41" s="5" t="str">
        <f t="shared" si="1"/>
        <v>NA</v>
      </c>
      <c r="C41" s="6"/>
      <c r="L41" s="9" t="s">
        <v>65</v>
      </c>
      <c r="M41" s="9" t="s">
        <v>23</v>
      </c>
    </row>
    <row r="42" spans="1:13">
      <c r="A42" s="4" t="s">
        <v>67</v>
      </c>
      <c r="B42" s="5" t="str">
        <f t="shared" si="1"/>
        <v>NA</v>
      </c>
      <c r="C42" s="6"/>
      <c r="L42" s="9" t="s">
        <v>66</v>
      </c>
      <c r="M42" s="9" t="s">
        <v>23</v>
      </c>
    </row>
    <row r="43" spans="1:13">
      <c r="A43" s="4" t="s">
        <v>68</v>
      </c>
      <c r="B43" s="5" t="str">
        <f t="shared" si="1"/>
        <v>NA</v>
      </c>
      <c r="C43" s="6"/>
      <c r="L43" s="9" t="s">
        <v>67</v>
      </c>
      <c r="M43" s="9" t="s">
        <v>23</v>
      </c>
    </row>
    <row r="44" spans="1:13">
      <c r="A44" s="4" t="s">
        <v>69</v>
      </c>
      <c r="B44" s="5" t="str">
        <f t="shared" si="1"/>
        <v>NA</v>
      </c>
      <c r="C44" s="6"/>
      <c r="L44" s="9" t="s">
        <v>68</v>
      </c>
      <c r="M44" s="9" t="s">
        <v>23</v>
      </c>
    </row>
    <row r="45" spans="1:13">
      <c r="A45" s="4" t="s">
        <v>70</v>
      </c>
      <c r="B45" s="5" t="str">
        <f t="shared" si="1"/>
        <v>NA</v>
      </c>
      <c r="C45" s="6"/>
      <c r="L45" s="9" t="s">
        <v>69</v>
      </c>
      <c r="M45" s="9" t="s">
        <v>23</v>
      </c>
    </row>
    <row r="46" spans="1:13">
      <c r="A46" s="4" t="s">
        <v>71</v>
      </c>
      <c r="B46" s="5" t="str">
        <f t="shared" si="1"/>
        <v>Tonnes</v>
      </c>
      <c r="C46" s="6"/>
      <c r="L46" s="9" t="s">
        <v>72</v>
      </c>
      <c r="M46" s="9" t="s">
        <v>23</v>
      </c>
    </row>
    <row r="47" spans="1:13">
      <c r="A47" s="4" t="s">
        <v>73</v>
      </c>
      <c r="B47" s="5" t="str">
        <f t="shared" si="1"/>
        <v>Tonnes</v>
      </c>
      <c r="C47" s="6"/>
      <c r="L47" s="9" t="s">
        <v>74</v>
      </c>
      <c r="M47" s="9" t="s">
        <v>15</v>
      </c>
    </row>
    <row r="48" spans="1:13">
      <c r="A48" s="4" t="s">
        <v>75</v>
      </c>
      <c r="B48" s="5" t="str">
        <f t="shared" si="1"/>
        <v>Tonnes</v>
      </c>
      <c r="C48" s="6"/>
      <c r="L48" s="9" t="s">
        <v>76</v>
      </c>
      <c r="M48" s="9" t="s">
        <v>15</v>
      </c>
    </row>
    <row r="49" spans="1:13">
      <c r="A49" s="4" t="s">
        <v>77</v>
      </c>
      <c r="B49" s="5" t="str">
        <f t="shared" si="1"/>
        <v>Tonnes/ Million</v>
      </c>
      <c r="C49" s="6"/>
      <c r="L49" s="9" t="s">
        <v>78</v>
      </c>
      <c r="M49" s="9" t="s">
        <v>15</v>
      </c>
    </row>
    <row r="50" spans="1:13">
      <c r="A50" s="4" t="s">
        <v>79</v>
      </c>
      <c r="B50" s="5" t="str">
        <f t="shared" si="1"/>
        <v>Tonnes/ Million</v>
      </c>
      <c r="C50" s="6"/>
      <c r="L50" s="9" t="s">
        <v>77</v>
      </c>
      <c r="M50" s="9" t="s">
        <v>80</v>
      </c>
    </row>
    <row r="51" spans="1:13">
      <c r="A51" s="4" t="s">
        <v>81</v>
      </c>
      <c r="B51" s="5" t="str">
        <f t="shared" si="1"/>
        <v>Percentage (%)</v>
      </c>
      <c r="C51" s="6"/>
      <c r="L51" s="9" t="s">
        <v>82</v>
      </c>
      <c r="M51" s="9" t="s">
        <v>80</v>
      </c>
    </row>
    <row r="52" spans="1:13">
      <c r="A52" s="4" t="s">
        <v>83</v>
      </c>
      <c r="B52" s="5" t="str">
        <f t="shared" si="1"/>
        <v>Gigajoules</v>
      </c>
      <c r="C52" s="6"/>
      <c r="L52" s="9" t="s">
        <v>84</v>
      </c>
      <c r="M52" s="9" t="s">
        <v>25</v>
      </c>
    </row>
    <row r="53" spans="1:13">
      <c r="A53" s="4" t="s">
        <v>85</v>
      </c>
      <c r="B53" s="5" t="str">
        <f t="shared" si="1"/>
        <v>Gigajoules/Million</v>
      </c>
      <c r="C53" s="6"/>
      <c r="L53" s="9" t="s">
        <v>86</v>
      </c>
      <c r="M53" s="9" t="s">
        <v>87</v>
      </c>
    </row>
    <row r="54" spans="1:13">
      <c r="A54" s="4" t="s">
        <v>88</v>
      </c>
      <c r="B54" s="5" t="str">
        <f t="shared" si="1"/>
        <v>NA</v>
      </c>
      <c r="C54" s="6"/>
      <c r="L54" s="9" t="s">
        <v>89</v>
      </c>
      <c r="M54" s="9" t="s">
        <v>90</v>
      </c>
    </row>
    <row r="55" spans="1:13">
      <c r="A55" s="4" t="s">
        <v>91</v>
      </c>
      <c r="B55" s="5" t="str">
        <f t="shared" si="1"/>
        <v>NA</v>
      </c>
      <c r="C55" s="6"/>
      <c r="L55" s="9" t="s">
        <v>88</v>
      </c>
      <c r="M55" s="9" t="s">
        <v>23</v>
      </c>
    </row>
    <row r="56" spans="1:13">
      <c r="A56" s="4" t="s">
        <v>92</v>
      </c>
      <c r="B56" s="5" t="str">
        <f t="shared" si="1"/>
        <v>NA</v>
      </c>
      <c r="C56" s="6"/>
      <c r="L56" s="9" t="s">
        <v>93</v>
      </c>
      <c r="M56" s="9" t="s">
        <v>23</v>
      </c>
    </row>
    <row r="57" spans="1:13">
      <c r="A57" s="4" t="s">
        <v>94</v>
      </c>
      <c r="B57" s="5" t="str">
        <f t="shared" si="1"/>
        <v>NA</v>
      </c>
      <c r="C57" s="6"/>
      <c r="L57" s="9" t="s">
        <v>92</v>
      </c>
      <c r="M57" s="9" t="s">
        <v>23</v>
      </c>
    </row>
    <row r="58" spans="1:13">
      <c r="A58" s="4" t="s">
        <v>95</v>
      </c>
      <c r="B58" s="5" t="str">
        <f t="shared" si="1"/>
        <v>NA</v>
      </c>
      <c r="C58" s="6"/>
      <c r="L58" s="9" t="s">
        <v>94</v>
      </c>
      <c r="M58" s="9" t="s">
        <v>23</v>
      </c>
    </row>
    <row r="59" spans="1:13">
      <c r="A59" s="4" t="s">
        <v>96</v>
      </c>
      <c r="B59" s="5" t="str">
        <f t="shared" si="1"/>
        <v>USD Millions</v>
      </c>
      <c r="C59" s="6"/>
      <c r="L59" s="9" t="s">
        <v>95</v>
      </c>
      <c r="M59" s="9" t="s">
        <v>23</v>
      </c>
    </row>
    <row r="60" spans="1:13">
      <c r="A60" s="4" t="s">
        <v>97</v>
      </c>
      <c r="B60" s="5" t="str">
        <f t="shared" si="1"/>
        <v>USD Millions</v>
      </c>
      <c r="C60" s="6"/>
      <c r="L60" s="9" t="s">
        <v>96</v>
      </c>
      <c r="M60" s="9" t="s">
        <v>98</v>
      </c>
    </row>
    <row r="61" spans="1:13">
      <c r="A61" s="4" t="s">
        <v>99</v>
      </c>
      <c r="B61" s="5" t="str">
        <f t="shared" si="1"/>
        <v>USD Millions</v>
      </c>
      <c r="C61" s="6"/>
      <c r="L61" s="9" t="s">
        <v>97</v>
      </c>
      <c r="M61" s="9" t="s">
        <v>98</v>
      </c>
    </row>
    <row r="62" spans="1:13">
      <c r="A62" s="4" t="s">
        <v>100</v>
      </c>
      <c r="B62" s="5" t="str">
        <f t="shared" si="1"/>
        <v>USD Millions</v>
      </c>
      <c r="C62" s="6"/>
      <c r="L62" s="9" t="s">
        <v>101</v>
      </c>
      <c r="M62" s="9" t="s">
        <v>98</v>
      </c>
    </row>
    <row r="63" spans="1:13">
      <c r="A63" s="4" t="s">
        <v>102</v>
      </c>
      <c r="B63" s="5" t="str">
        <f t="shared" si="1"/>
        <v>USD Millions</v>
      </c>
      <c r="C63" s="6"/>
      <c r="L63" s="9" t="s">
        <v>103</v>
      </c>
      <c r="M63" s="9" t="s">
        <v>98</v>
      </c>
    </row>
    <row r="64" spans="1:13">
      <c r="A64" s="4" t="s">
        <v>104</v>
      </c>
      <c r="B64" s="5" t="str">
        <f t="shared" si="1"/>
        <v>USD Millions</v>
      </c>
      <c r="C64" s="6"/>
      <c r="L64" s="9" t="s">
        <v>105</v>
      </c>
      <c r="M64" s="9" t="s">
        <v>98</v>
      </c>
    </row>
    <row r="65" spans="1:13">
      <c r="A65" s="4" t="s">
        <v>106</v>
      </c>
      <c r="B65" s="5" t="str">
        <f t="shared" si="1"/>
        <v>USD Millions</v>
      </c>
      <c r="C65" s="6"/>
      <c r="L65" s="9" t="s">
        <v>104</v>
      </c>
      <c r="M65" s="9" t="s">
        <v>98</v>
      </c>
    </row>
    <row r="66" spans="1:13">
      <c r="A66" s="4" t="s">
        <v>107</v>
      </c>
      <c r="B66" s="5" t="str">
        <f t="shared" si="1"/>
        <v>USD Millions</v>
      </c>
      <c r="C66" s="6"/>
      <c r="L66" s="9" t="s">
        <v>108</v>
      </c>
      <c r="M66" s="9" t="s">
        <v>98</v>
      </c>
    </row>
    <row r="67" spans="1:13">
      <c r="A67" s="4" t="s">
        <v>109</v>
      </c>
      <c r="B67" s="5" t="str">
        <f t="shared" si="1"/>
        <v>USD Millions</v>
      </c>
      <c r="C67" s="6"/>
      <c r="L67" s="9" t="s">
        <v>107</v>
      </c>
      <c r="M67" s="9" t="s">
        <v>98</v>
      </c>
    </row>
    <row r="68" spans="1:13">
      <c r="A68" s="4" t="s">
        <v>110</v>
      </c>
      <c r="B68" s="5" t="str">
        <f t="shared" ref="B68:B99" si="2">IF(ISBLANK(A68),"",VLOOKUP(A68,$L$5:$M$70,2,FALSE))</f>
        <v>Count</v>
      </c>
      <c r="C68" s="6"/>
      <c r="L68" s="9" t="s">
        <v>111</v>
      </c>
      <c r="M68" s="9" t="s">
        <v>98</v>
      </c>
    </row>
    <row r="69" spans="1:13">
      <c r="A69" s="4"/>
      <c r="B69" s="5" t="str">
        <f t="shared" ref="B69:B85" si="3">IF(ISBLANK(A69),"",VLOOKUP(A69,$L$5:$M$70,2,FALSE))</f>
        <v/>
      </c>
      <c r="C69" s="6"/>
      <c r="L69" s="9" t="s">
        <v>110</v>
      </c>
      <c r="M69" s="9" t="s">
        <v>35</v>
      </c>
    </row>
    <row r="70" spans="1:13">
      <c r="A70" s="4"/>
      <c r="B70" s="5" t="str">
        <f t="shared" si="3"/>
        <v/>
      </c>
      <c r="C70" s="10"/>
      <c r="L70" s="9" t="s">
        <v>112</v>
      </c>
      <c r="M70" s="9" t="s">
        <v>23</v>
      </c>
    </row>
    <row r="71" spans="1:13">
      <c r="A71" s="4"/>
      <c r="B71" s="5" t="str">
        <f t="shared" si="3"/>
        <v/>
      </c>
      <c r="C71" s="10"/>
    </row>
    <row r="72" spans="1:13">
      <c r="A72" s="4"/>
      <c r="B72" s="5" t="str">
        <f t="shared" si="3"/>
        <v/>
      </c>
      <c r="C72" s="10"/>
    </row>
    <row r="73" spans="1:13">
      <c r="A73" s="4"/>
      <c r="B73" s="5" t="str">
        <f t="shared" si="3"/>
        <v/>
      </c>
      <c r="C73" s="10"/>
    </row>
    <row r="74" spans="1:13">
      <c r="A74" s="4"/>
      <c r="B74" s="5" t="str">
        <f t="shared" si="3"/>
        <v/>
      </c>
      <c r="C74" s="10"/>
    </row>
    <row r="75" spans="1:13">
      <c r="A75" s="4"/>
      <c r="B75" s="5" t="str">
        <f t="shared" si="3"/>
        <v/>
      </c>
      <c r="C75" s="10"/>
    </row>
    <row r="76" spans="1:13">
      <c r="A76" s="4"/>
      <c r="B76" s="5" t="str">
        <f t="shared" si="3"/>
        <v/>
      </c>
      <c r="C76" s="10"/>
    </row>
    <row r="77" spans="1:13">
      <c r="A77" s="4"/>
      <c r="B77" s="5" t="str">
        <f t="shared" si="3"/>
        <v/>
      </c>
      <c r="C77" s="10"/>
    </row>
    <row r="78" spans="1:13">
      <c r="A78" s="4"/>
      <c r="B78" s="5" t="str">
        <f t="shared" si="3"/>
        <v/>
      </c>
      <c r="C78" s="10"/>
    </row>
    <row r="79" spans="1:13">
      <c r="A79" s="4"/>
      <c r="B79" s="5" t="str">
        <f t="shared" si="3"/>
        <v/>
      </c>
      <c r="C79" s="10"/>
    </row>
    <row r="80" spans="1:13">
      <c r="A80" s="4"/>
      <c r="B80" s="5" t="str">
        <f t="shared" si="3"/>
        <v/>
      </c>
      <c r="C80" s="10"/>
    </row>
    <row r="81" spans="1:3">
      <c r="A81" s="4"/>
      <c r="B81" s="5" t="str">
        <f t="shared" si="3"/>
        <v/>
      </c>
      <c r="C81" s="10"/>
    </row>
    <row r="82" spans="1:3">
      <c r="A82" s="4"/>
      <c r="B82" s="5" t="str">
        <f t="shared" si="3"/>
        <v/>
      </c>
      <c r="C82" s="10"/>
    </row>
    <row r="83" spans="1:3">
      <c r="A83" s="4"/>
      <c r="B83" s="5" t="str">
        <f t="shared" si="3"/>
        <v/>
      </c>
      <c r="C83" s="10"/>
    </row>
    <row r="84" spans="1:3">
      <c r="A84" s="4"/>
      <c r="B84" s="5" t="str">
        <f t="shared" si="3"/>
        <v/>
      </c>
      <c r="C84" s="10"/>
    </row>
    <row r="85" spans="1:3">
      <c r="A85" s="4"/>
      <c r="B85" s="5" t="str">
        <f t="shared" si="3"/>
        <v/>
      </c>
      <c r="C85" s="10"/>
    </row>
    <row r="86" spans="1:3">
      <c r="A86" s="11"/>
      <c r="B86" s="11"/>
      <c r="C86" s="11"/>
    </row>
    <row r="87" spans="1:3">
      <c r="A87" s="11"/>
      <c r="B87" s="11"/>
      <c r="C87" s="11"/>
    </row>
    <row r="88" spans="1:3">
      <c r="A88" s="11"/>
      <c r="B88" s="11"/>
      <c r="C88" s="11"/>
    </row>
    <row r="89" spans="1:3">
      <c r="A89" s="11"/>
      <c r="B89" s="11"/>
      <c r="C89" s="11"/>
    </row>
    <row r="90" spans="1:3">
      <c r="A90" s="11"/>
      <c r="B90" s="11"/>
      <c r="C90" s="11"/>
    </row>
    <row r="91" spans="1:3">
      <c r="A91" s="11"/>
      <c r="B91" s="11"/>
      <c r="C91" s="11"/>
    </row>
    <row r="92" spans="1:3">
      <c r="A92" s="11"/>
      <c r="B92" s="11"/>
      <c r="C92" s="11"/>
    </row>
    <row r="93" spans="1:3">
      <c r="A93" s="11"/>
      <c r="B93" s="11"/>
      <c r="C93" s="11"/>
    </row>
    <row r="94" spans="1:3">
      <c r="A94" s="11"/>
      <c r="B94" s="11"/>
      <c r="C94" s="11"/>
    </row>
    <row r="95" spans="1:3">
      <c r="A95" s="11"/>
      <c r="B95" s="11"/>
      <c r="C95" s="11"/>
    </row>
    <row r="96" spans="1:3">
      <c r="A96" s="11"/>
      <c r="B96" s="11"/>
      <c r="C96" s="11"/>
    </row>
    <row r="97" spans="1:3">
      <c r="A97" s="11"/>
      <c r="B97" s="11"/>
      <c r="C97" s="11"/>
    </row>
    <row r="98" spans="1:3">
      <c r="A98" s="11"/>
      <c r="B98" s="11"/>
      <c r="C98" s="11"/>
    </row>
    <row r="99" spans="1:3">
      <c r="A99" s="11"/>
      <c r="B99" s="11"/>
      <c r="C99" s="11"/>
    </row>
    <row r="100" spans="1:3">
      <c r="A100" s="11"/>
      <c r="B100" s="11"/>
      <c r="C100" s="11"/>
    </row>
    <row r="101" spans="1:3">
      <c r="A101" s="11"/>
      <c r="B101" s="11"/>
      <c r="C101" s="11"/>
    </row>
    <row r="102" spans="1:3">
      <c r="A102" s="11"/>
      <c r="B102" s="11"/>
      <c r="C102" s="11"/>
    </row>
    <row r="103" spans="1:3">
      <c r="A103" s="11"/>
      <c r="B103" s="11"/>
      <c r="C103" s="11"/>
    </row>
    <row r="104" spans="1:3">
      <c r="A104" s="11"/>
      <c r="B104" s="11"/>
      <c r="C104" s="11"/>
    </row>
    <row r="105" spans="1:3">
      <c r="A105" s="11"/>
      <c r="B105" s="11"/>
      <c r="C105" s="11"/>
    </row>
    <row r="106" spans="1:3">
      <c r="A106" s="11"/>
      <c r="B106" s="11"/>
      <c r="C106" s="11"/>
    </row>
    <row r="107" spans="1:3">
      <c r="A107" s="11"/>
      <c r="B107" s="11"/>
      <c r="C107" s="11"/>
    </row>
    <row r="108" spans="1:3">
      <c r="A108" s="11"/>
      <c r="B108" s="11"/>
      <c r="C108" s="11"/>
    </row>
    <row r="109" spans="1:3">
      <c r="A109" s="11"/>
      <c r="B109" s="11"/>
      <c r="C109" s="11"/>
    </row>
    <row r="110" spans="1:3">
      <c r="A110" s="11"/>
      <c r="B110" s="11"/>
      <c r="C110" s="11"/>
    </row>
    <row r="111" spans="1:3">
      <c r="A111" s="11"/>
      <c r="B111" s="11"/>
      <c r="C111" s="11"/>
    </row>
    <row r="112" spans="1:3">
      <c r="A112" s="11"/>
      <c r="B112" s="11"/>
      <c r="C112" s="11"/>
    </row>
    <row r="113" spans="1:3">
      <c r="A113" s="11"/>
      <c r="B113" s="11"/>
      <c r="C113" s="11"/>
    </row>
    <row r="114" spans="1:3">
      <c r="A114" s="11"/>
      <c r="B114" s="11"/>
      <c r="C114" s="11"/>
    </row>
    <row r="115" spans="1:3">
      <c r="A115" s="11"/>
      <c r="B115" s="11"/>
      <c r="C115" s="11"/>
    </row>
    <row r="116" spans="1:3">
      <c r="A116" s="11"/>
      <c r="B116" s="11"/>
      <c r="C116" s="11"/>
    </row>
    <row r="117" spans="1:3">
      <c r="A117" s="11"/>
      <c r="B117" s="11"/>
      <c r="C117" s="11"/>
    </row>
    <row r="118" spans="1:3">
      <c r="A118" s="11"/>
      <c r="B118" s="11"/>
      <c r="C118" s="11"/>
    </row>
    <row r="119" spans="1:3">
      <c r="A119" s="11"/>
      <c r="B119" s="11"/>
      <c r="C119" s="11"/>
    </row>
    <row r="120" spans="1:3">
      <c r="A120" s="11"/>
      <c r="B120" s="11"/>
      <c r="C120" s="11"/>
    </row>
    <row r="121" spans="1:3">
      <c r="A121" s="11"/>
      <c r="B121" s="11"/>
      <c r="C121" s="11"/>
    </row>
    <row r="122" spans="1:3">
      <c r="A122" s="11"/>
      <c r="B122" s="11"/>
      <c r="C122" s="11"/>
    </row>
    <row r="123" spans="1:3">
      <c r="A123" s="11"/>
      <c r="B123" s="11"/>
      <c r="C123" s="11"/>
    </row>
    <row r="124" spans="1:3">
      <c r="A124" s="11"/>
      <c r="B124" s="11"/>
      <c r="C124" s="11"/>
    </row>
    <row r="125" spans="1:3">
      <c r="A125" s="11"/>
      <c r="B125" s="11"/>
      <c r="C125" s="11"/>
    </row>
    <row r="126" spans="1:3">
      <c r="A126" s="11"/>
      <c r="B126" s="11"/>
      <c r="C126" s="11"/>
    </row>
    <row r="127" spans="1:3">
      <c r="A127" s="11"/>
      <c r="B127" s="11"/>
      <c r="C127" s="11"/>
    </row>
    <row r="128" spans="1:3">
      <c r="A128" s="11"/>
      <c r="B128" s="11"/>
      <c r="C128" s="11"/>
    </row>
    <row r="129" spans="1:3">
      <c r="A129" s="11"/>
      <c r="B129" s="11"/>
      <c r="C129" s="11"/>
    </row>
    <row r="130" spans="1:3">
      <c r="A130" s="11"/>
      <c r="B130" s="11"/>
      <c r="C130" s="11"/>
    </row>
    <row r="131" spans="1:3">
      <c r="A131" s="11"/>
      <c r="B131" s="11"/>
      <c r="C131" s="11"/>
    </row>
    <row r="132" spans="1:3">
      <c r="A132" s="11"/>
      <c r="B132" s="11"/>
      <c r="C132" s="11"/>
    </row>
    <row r="133" spans="1:3">
      <c r="A133" s="11"/>
      <c r="B133" s="11"/>
      <c r="C133" s="11"/>
    </row>
    <row r="134" spans="1:3">
      <c r="A134" s="11"/>
      <c r="B134" s="11"/>
      <c r="C134" s="11"/>
    </row>
  </sheetData>
  <mergeCells count="1">
    <mergeCell ref="A1:C1"/>
  </mergeCells>
  <dataValidations count="3">
    <dataValidation type="list" allowBlank="1" showInputMessage="1" showErrorMessage="1" sqref="A4:A85" xr:uid="{00000000-0002-0000-0000-000000000000}">
      <formula1>$L$5:$L$70</formula1>
    </dataValidation>
    <dataValidation type="decimal" allowBlank="1" showInputMessage="1" showErrorMessage="1" error="Please enter the Quantity between 0 &amp; 99999" sqref="C70:C85" xr:uid="{00000000-0002-0000-0000-000001000000}">
      <formula1>0</formula1>
      <formula2>99999</formula2>
    </dataValidation>
    <dataValidation type="custom" allowBlank="1" showInputMessage="1" showErrorMessage="1" errorTitle="Duplicate Entry" error="Duplicate entry. Please select a different value." sqref="L5:L39 L41:L70" xr:uid="{00000000-0002-0000-0000-000002000000}">
      <formula1>COUNTIF($L$5:$L$70,L5)=1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Soumya Kori</dc:creator>
  <cp:keywords/>
  <dc:description/>
  <cp:lastModifiedBy>Supraja Pericherla</cp:lastModifiedBy>
  <cp:revision/>
  <dcterms:created xsi:type="dcterms:W3CDTF">2024-05-17T18:19:00Z</dcterms:created>
  <dcterms:modified xsi:type="dcterms:W3CDTF">2025-02-20T05:04:42Z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709D9988D58D4B5DB47AE08111D25AF5_12</vt:lpwstr>
  </property>
  <property fmtid="{D5CDD505-2E9C-101B-9397-08002B2CF9AE}" pid="3" name="KSOProductBuildVer">
    <vt:lpwstr>1033-12.2.0.19805</vt:lpwstr>
  </property>
</Properties>
</file>